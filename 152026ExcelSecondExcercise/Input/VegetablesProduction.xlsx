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4\Documents\UiPath\152026ExcelSecondExcercise\Input\"/>
    </mc:Choice>
  </mc:AlternateContent>
  <xr:revisionPtr revIDLastSave="0" documentId="13_ncr:1_{DB5F1741-4DA1-442D-B54E-12077A59783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racker" sheetId="2" r:id="rId1"/>
    <sheet name="PivotTable" sheetId="6" r:id="rId2"/>
    <sheet name="Tracker_Updated" sheetId="5" r:id="rId3"/>
  </sheets>
  <calcPr calcId="162913"/>
  <pivotCaches>
    <pivotCache cacheId="0" r:id="rId4"/>
    <pivotCache cacheId="6" r:id="rId5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<sst xmlns="http://schemas.openxmlformats.org/spreadsheetml/2006/main" count="272" uniqueCount="43">
  <si>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</si>
  <si>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</si>
  <si>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</si>
  <si>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</si>
  <si>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</si>
  <si>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</si>
  <si>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</si>
  <si>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</si>
  <si>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</si>
  <si>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</si>
  <si>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</si>
  <si>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</si>
  <si>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</si>
  <si>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</si>
  <si>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</si>
  <si>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</si>
  <si>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</si>
  <si>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</si>
  <si>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</si>
  <si>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</si>
  <si>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</si>
  <si>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</si>
  <si>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</si>
  <si>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</si>
  <si>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</si>
  <si>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</si>
  <si>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</si>
  <si>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</si>
  <si>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</si>
  <si>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</si>
  <si>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</si>
  <si>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</si>
  <si>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</si>
  <si>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</si>
  <si>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</si>
  <si>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</si>
  <si>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</si>
  <si>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</si>
  <si>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</si>
  <si>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Row Labels</t>
  </si>
  <si>
    <t>Grand Total</t>
  </si>
  <si>
    <t>Column Labels</t>
  </si>
  <si>
    <t>Sum of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</si>
</sst>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.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1" fillId="0" borderId="0" xfId="0" applyNumberFormat="1" applyFont="1" applyFill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[VegetablesProduction.xlsx]PivotTable!ValueTracker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Estimated Sales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A1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PivotTable!$B$3:$B$21</c:f>
              <c:numCache>
                <c:formatCode>General</c:formatCode>
                <c:ptCount val="15"/>
                <c:pt idx="2">
                  <c:v>3220.7999999999997</c:v>
                </c:pt>
                <c:pt idx="4">
                  <c:v>7335.9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4-4165-BBCC-40746411697B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A2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PivotTable!$C$3:$C$21</c:f>
              <c:numCache>
                <c:formatCode>General</c:formatCode>
                <c:ptCount val="15"/>
                <c:pt idx="7">
                  <c:v>1355.1999999999998</c:v>
                </c:pt>
                <c:pt idx="11">
                  <c:v>3971.2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4-4165-BBCC-40746411697B}"/>
            </c:ext>
          </c:extLst>
        </c:ser>
        <c:ser>
          <c:idx val="2"/>
          <c:order val="2"/>
          <c:tx>
            <c:strRef>
              <c:f>PivotTable!$D$1:$D$2</c:f>
              <c:strCache>
                <c:ptCount val="1"/>
                <c:pt idx="0">
                  <c:v>A3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PivotTable!$D$3:$D$21</c:f>
              <c:numCache>
                <c:formatCode>General</c:formatCode>
                <c:ptCount val="15"/>
                <c:pt idx="12">
                  <c:v>3187.6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4-4165-BBCC-40746411697B}"/>
            </c:ext>
          </c:extLst>
        </c:ser>
        <c:ser>
          <c:idx val="3"/>
          <c:order val="3"/>
          <c:tx>
            <c:strRef>
              <c:f>PivotTable!$E$1:$E$2</c:f>
              <c:strCache>
                <c:ptCount val="1"/>
                <c:pt idx="0">
                  <c:v>B1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PivotTable!$E$3:$E$21</c:f>
              <c:numCache>
                <c:formatCode>General</c:formatCode>
                <c:ptCount val="15"/>
                <c:pt idx="0">
                  <c:v>6151.2000000000007</c:v>
                </c:pt>
                <c:pt idx="1">
                  <c:v>3845.6000000000004</c:v>
                </c:pt>
                <c:pt idx="5">
                  <c:v>9377.5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4-4165-BBCC-40746411697B}"/>
            </c:ext>
          </c:extLst>
        </c:ser>
        <c:ser>
          <c:idx val="4"/>
          <c:order val="4"/>
          <c:tx>
            <c:strRef>
              <c:f>PivotTable!$F$1:$F$2</c:f>
              <c:strCache>
                <c:ptCount val="1"/>
                <c:pt idx="0">
                  <c:v>B2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PivotTable!$F$3:$F$21</c:f>
              <c:numCache>
                <c:formatCode>General</c:formatCode>
                <c:ptCount val="15"/>
                <c:pt idx="3">
                  <c:v>3869.1000000000004</c:v>
                </c:pt>
                <c:pt idx="6">
                  <c:v>3696</c:v>
                </c:pt>
                <c:pt idx="10">
                  <c:v>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04-4165-BBCC-40746411697B}"/>
            </c:ext>
          </c:extLst>
        </c:ser>
        <c:ser>
          <c:idx val="5"/>
          <c:order val="5"/>
          <c:tx>
            <c:strRef>
              <c:f>PivotTable!$G$1:$G$2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PivotTable!$G$3:$G$21</c:f>
              <c:numCache>
                <c:formatCode>General</c:formatCode>
                <c:ptCount val="15"/>
                <c:pt idx="8">
                  <c:v>4292.3999999999996</c:v>
                </c:pt>
                <c:pt idx="9">
                  <c:v>5126</c:v>
                </c:pt>
                <c:pt idx="13">
                  <c:v>4316.8999999999996</c:v>
                </c:pt>
                <c:pt idx="14">
                  <c:v>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04-4165-BBCC-407464116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3343536"/>
        <c:axId val="1293343120"/>
      </c:barChart>
      <c:catAx>
        <c:axId val="129334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3343120"/>
        <c:crosses val="autoZero"/>
        <c:auto val="1"/>
        <c:lblAlgn val="ctr"/>
        <c:lblOffset val="100"/>
        <c:noMultiLvlLbl val="0"/>
      </c:catAx>
      <c:valAx>
        <c:axId val="129334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9334353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[VegetablesProduction.xlsx]Tracker_Updated!Values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Tracker_Updated!$B$1:$B$2</c:f>
              <c:strCache>
                <c:ptCount val="1"/>
                <c:pt idx="0">
                  <c:v>A1</c:v>
                </c:pt>
              </c:strCache>
            </c:strRef>
          </c:tx>
          <c:invertIfNegative val="0"/>
          <c:cat>
            <c:multiLvlStrRef>
              <c:f>Tracker_Updated!$A$3:$A$21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Tracker_Updated!$B$3:$B$21</c:f>
              <c:numCache>
                <c:formatCode>General</c:formatCode>
                <c:ptCount val="15"/>
                <c:pt idx="2">
                  <c:v>3220.7999999999997</c:v>
                </c:pt>
                <c:pt idx="4">
                  <c:v>7335.9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8-453E-ACAB-9D4E2D9BC55F}"/>
            </c:ext>
          </c:extLst>
        </c:ser>
        <c:ser>
          <c:idx val="1"/>
          <c:order val="1"/>
          <c:tx>
            <c:strRef>
              <c:f>Tracker_Updated!$C$1:$C$2</c:f>
              <c:strCache>
                <c:ptCount val="1"/>
                <c:pt idx="0">
                  <c:v>A2</c:v>
                </c:pt>
              </c:strCache>
            </c:strRef>
          </c:tx>
          <c:invertIfNegative val="0"/>
          <c:cat>
            <c:multiLvlStrRef>
              <c:f>Tracker_Updated!$A$3:$A$21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Tracker_Updated!$C$3:$C$21</c:f>
              <c:numCache>
                <c:formatCode>General</c:formatCode>
                <c:ptCount val="15"/>
                <c:pt idx="7">
                  <c:v>1355.1999999999998</c:v>
                </c:pt>
                <c:pt idx="11">
                  <c:v>3971.2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8-453E-ACAB-9D4E2D9BC55F}"/>
            </c:ext>
          </c:extLst>
        </c:ser>
        <c:ser>
          <c:idx val="2"/>
          <c:order val="2"/>
          <c:tx>
            <c:strRef>
              <c:f>Tracker_Updated!$D$1:$D$2</c:f>
              <c:strCache>
                <c:ptCount val="1"/>
                <c:pt idx="0">
                  <c:v>A3</c:v>
                </c:pt>
              </c:strCache>
            </c:strRef>
          </c:tx>
          <c:invertIfNegative val="0"/>
          <c:cat>
            <c:multiLvlStrRef>
              <c:f>Tracker_Updated!$A$3:$A$21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Tracker_Updated!$D$3:$D$21</c:f>
              <c:numCache>
                <c:formatCode>General</c:formatCode>
                <c:ptCount val="15"/>
                <c:pt idx="12">
                  <c:v>3187.6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8-453E-ACAB-9D4E2D9BC55F}"/>
            </c:ext>
          </c:extLst>
        </c:ser>
        <c:ser>
          <c:idx val="3"/>
          <c:order val="3"/>
          <c:tx>
            <c:strRef>
              <c:f>Tracker_Updated!$E$1:$E$2</c:f>
              <c:strCache>
                <c:ptCount val="1"/>
                <c:pt idx="0">
                  <c:v>B1</c:v>
                </c:pt>
              </c:strCache>
            </c:strRef>
          </c:tx>
          <c:invertIfNegative val="0"/>
          <c:cat>
            <c:multiLvlStrRef>
              <c:f>Tracker_Updated!$A$3:$A$21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Tracker_Updated!$E$3:$E$21</c:f>
              <c:numCache>
                <c:formatCode>General</c:formatCode>
                <c:ptCount val="15"/>
                <c:pt idx="0">
                  <c:v>6151.2000000000007</c:v>
                </c:pt>
                <c:pt idx="1">
                  <c:v>3845.6000000000004</c:v>
                </c:pt>
                <c:pt idx="5">
                  <c:v>9377.5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B8-453E-ACAB-9D4E2D9BC55F}"/>
            </c:ext>
          </c:extLst>
        </c:ser>
        <c:ser>
          <c:idx val="4"/>
          <c:order val="4"/>
          <c:tx>
            <c:strRef>
              <c:f>Tracker_Updated!$F$1:$F$2</c:f>
              <c:strCache>
                <c:ptCount val="1"/>
                <c:pt idx="0">
                  <c:v>B2</c:v>
                </c:pt>
              </c:strCache>
            </c:strRef>
          </c:tx>
          <c:invertIfNegative val="0"/>
          <c:cat>
            <c:multiLvlStrRef>
              <c:f>Tracker_Updated!$A$3:$A$21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Tracker_Updated!$F$3:$F$21</c:f>
              <c:numCache>
                <c:formatCode>General</c:formatCode>
                <c:ptCount val="15"/>
                <c:pt idx="3">
                  <c:v>3869.1000000000004</c:v>
                </c:pt>
                <c:pt idx="6">
                  <c:v>3696</c:v>
                </c:pt>
                <c:pt idx="10">
                  <c:v>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B8-453E-ACAB-9D4E2D9BC55F}"/>
            </c:ext>
          </c:extLst>
        </c:ser>
        <c:ser>
          <c:idx val="5"/>
          <c:order val="5"/>
          <c:tx>
            <c:strRef>
              <c:f>Tracker_Updated!$G$1:$G$2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multiLvlStrRef>
              <c:f>Tracker_Updated!$A$3:$A$21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Tracker_Updated!$G$3:$G$21</c:f>
              <c:numCache>
                <c:formatCode>General</c:formatCode>
                <c:ptCount val="15"/>
                <c:pt idx="8">
                  <c:v>4292.3999999999996</c:v>
                </c:pt>
                <c:pt idx="9">
                  <c:v>5126</c:v>
                </c:pt>
                <c:pt idx="13">
                  <c:v>4316.8999999999996</c:v>
                </c:pt>
                <c:pt idx="14">
                  <c:v>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B8-453E-ACAB-9D4E2D9BC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283119"/>
        <c:axId val="513283599"/>
      </c:barChart>
      <c:catAx>
        <c:axId val="513283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3283599"/>
        <c:crosses val="autoZero"/>
        <c:auto val="1"/>
        <c:lblAlgn val="ctr"/>
        <c:lblOffset val="100"/>
        <c:noMultiLvlLbl val="0"/>
      </c:catAx>
      <c:valAx>
        <c:axId val="5132835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328311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7</xdr:col>
      <xdr:colOff>155575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758D0-62C5-95BA-F7B9-362966226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7</xdr:col>
      <xdr:colOff>155575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2CED-2505-B84E-E5C4-38436F711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a Robert" refreshedDate="44987.697448032406" createdVersion="1" refreshedVersion="8" recordCount="36" xr:uid="{0D6D8B4A-B964-42AE-BC56-D06163F2393E}">
  <cacheSource type="worksheet">
    <worksheetSource ref="A1:G37" sheet="Tracker_Updated"/>
  </cacheSource>
  <cacheFields count="7">
    <cacheField name="Vegetables" numFmtId="0">
      <sharedItems/>
    </cacheField>
    <cacheField name="Production Month" numFmtId="0">
      <sharedItems count="12">
        <s v="September"/>
        <s v="July"/>
        <s v="May"/>
        <s v="October"/>
        <s v="August"/>
        <s v="January"/>
        <s v="April"/>
        <s v="March"/>
        <s v="November"/>
        <s v="February"/>
        <s v="December"/>
        <s v="June"/>
      </sharedItems>
    </cacheField>
    <cacheField name="Quantity" numFmtId="0">
      <sharedItems containsSemiMixedTypes="0" containsString="0" containsNumber="1" containsInteger="1" minValue="105" maxValue="996"/>
    </cacheField>
    <cacheField name="Storage Zone" numFmtId="0">
      <sharedItems count="6">
        <s v="A3"/>
        <s v="A2"/>
        <s v="A1"/>
        <s v="B2"/>
        <s v="B1"/>
        <s v="C1"/>
      </sharedItems>
    </cacheField>
    <cacheField name="Vendor Name" numFmtId="0">
      <sharedItems count="3">
        <s v="VCrunch"/>
        <s v="BFresh"/>
        <s v="EcoNGreen"/>
      </sharedItems>
    </cacheField>
    <cacheField name="Price per Kg" numFmtId="0">
      <sharedItems containsSemiMixedTypes="0" containsString="0" containsNumber="1" minValue="1.3" maxValue="6.6"/>
    </cacheField>
    <cacheField name="Estimated Value" numFmtId="164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4" refreshedDate="46052.843657638892" createdVersion="1" refreshedVersion="8" recordCount="36" xr:uid="{B017DE05-77B2-4083-8C1B-60709209D3AA}">
  <cacheSource type="worksheet">
    <worksheetSource ref="A1:G37" sheet="Tracker_Updated"/>
  </cacheSource>
  <cacheFields count="7">
    <cacheField name="Vegetables" numFmtId="164">
      <sharedItems/>
    </cacheField>
    <cacheField name="Production Month" numFmtId="164">
      <sharedItems count="12">
        <s v="September"/>
        <s v="July"/>
        <s v="May"/>
        <s v="October"/>
        <s v="August"/>
        <s v="January"/>
        <s v="April"/>
        <s v="March"/>
        <s v="November"/>
        <s v="February"/>
        <s v="December"/>
        <s v="June"/>
      </sharedItems>
    </cacheField>
    <cacheField name="Quantity" numFmtId="164">
      <sharedItems containsSemiMixedTypes="0" containsString="0" containsNumber="1" containsInteger="1" minValue="105" maxValue="996"/>
    </cacheField>
    <cacheField name="Storage Zone" numFmtId="164">
      <sharedItems count="6">
        <s v="A3"/>
        <s v="A2"/>
        <s v="A1"/>
        <s v="B2"/>
        <s v="B1"/>
        <s v="C1"/>
      </sharedItems>
    </cacheField>
    <cacheField name="Vendor Name" numFmtId="164">
      <sharedItems count="3">
        <s v="VCrunch"/>
        <s v="BFresh"/>
        <s v="EcoNGreen"/>
      </sharedItems>
    </cacheField>
    <cacheField name="Price per Kg" numFmtId="164">
      <sharedItems containsSemiMixedTypes="0" containsString="0" containsNumber="1" minValue="1.3" maxValue="6.6"/>
    </cacheField>
    <cacheField name="Estimated Value" numFmtId="164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umpkins"/>
    <x v="0"/>
    <n v="782"/>
    <x v="0"/>
    <x v="0"/>
    <n v="1.3"/>
    <n v="1016.6"/>
  </r>
  <r>
    <s v="Pumpkins"/>
    <x v="0"/>
    <n v="903"/>
    <x v="0"/>
    <x v="0"/>
    <n v="1.3"/>
    <n v="1173.9000000000001"/>
  </r>
  <r>
    <s v="Pumpkins"/>
    <x v="0"/>
    <n v="767"/>
    <x v="0"/>
    <x v="0"/>
    <n v="1.3"/>
    <n v="997.1"/>
  </r>
  <r>
    <s v="Onions"/>
    <x v="1"/>
    <n v="921"/>
    <x v="1"/>
    <x v="0"/>
    <n v="1.6"/>
    <n v="1473.6"/>
  </r>
  <r>
    <s v="Onions"/>
    <x v="1"/>
    <n v="613"/>
    <x v="1"/>
    <x v="0"/>
    <n v="1.6"/>
    <n v="980.8"/>
  </r>
  <r>
    <s v="Onions"/>
    <x v="1"/>
    <n v="948"/>
    <x v="1"/>
    <x v="0"/>
    <n v="1.6"/>
    <n v="1516.8"/>
  </r>
  <r>
    <s v="Cucumbers"/>
    <x v="2"/>
    <n v="713"/>
    <x v="2"/>
    <x v="1"/>
    <n v="2.2000000000000002"/>
    <n v="1568.6"/>
  </r>
  <r>
    <s v="Cucumbers"/>
    <x v="2"/>
    <n v="223"/>
    <x v="2"/>
    <x v="1"/>
    <n v="2.2000000000000002"/>
    <n v="490.6"/>
  </r>
  <r>
    <s v="Cucumbers"/>
    <x v="2"/>
    <n v="528"/>
    <x v="2"/>
    <x v="1"/>
    <n v="2.2000000000000002"/>
    <n v="1161.5999999999999"/>
  </r>
  <r>
    <s v="Potatoes"/>
    <x v="3"/>
    <n v="324"/>
    <x v="1"/>
    <x v="2"/>
    <n v="2.2000000000000002"/>
    <n v="712.8"/>
  </r>
  <r>
    <s v="Potatoes"/>
    <x v="3"/>
    <n v="187"/>
    <x v="1"/>
    <x v="2"/>
    <n v="2.2000000000000002"/>
    <n v="411.4"/>
  </r>
  <r>
    <s v="Potatoes"/>
    <x v="3"/>
    <n v="105"/>
    <x v="1"/>
    <x v="2"/>
    <n v="2.2000000000000002"/>
    <n v="231"/>
  </r>
  <r>
    <s v="Squash"/>
    <x v="4"/>
    <n v="648"/>
    <x v="3"/>
    <x v="1"/>
    <n v="2.7"/>
    <n v="1749.6"/>
  </r>
  <r>
    <s v="Squash"/>
    <x v="4"/>
    <n v="246"/>
    <x v="3"/>
    <x v="1"/>
    <n v="2.7"/>
    <n v="664.2"/>
  </r>
  <r>
    <s v="Squash"/>
    <x v="4"/>
    <n v="539"/>
    <x v="3"/>
    <x v="1"/>
    <n v="2.7"/>
    <n v="1455.3"/>
  </r>
  <r>
    <s v="Carrots"/>
    <x v="5"/>
    <n v="573"/>
    <x v="2"/>
    <x v="2"/>
    <n v="3.3"/>
    <n v="1890.9"/>
  </r>
  <r>
    <s v="Carrots"/>
    <x v="5"/>
    <n v="782"/>
    <x v="2"/>
    <x v="2"/>
    <n v="3.3"/>
    <n v="2580.6"/>
  </r>
  <r>
    <s v="Carrots"/>
    <x v="5"/>
    <n v="868"/>
    <x v="2"/>
    <x v="2"/>
    <n v="3.3"/>
    <n v="2864.4"/>
  </r>
  <r>
    <s v="Lettuce"/>
    <x v="6"/>
    <n v="278"/>
    <x v="4"/>
    <x v="1"/>
    <n v="3.8"/>
    <n v="1056.4000000000001"/>
  </r>
  <r>
    <s v="Lettuce"/>
    <x v="6"/>
    <n v="455"/>
    <x v="4"/>
    <x v="1"/>
    <n v="3.8"/>
    <n v="1729"/>
  </r>
  <r>
    <s v="Lettuce"/>
    <x v="6"/>
    <n v="279"/>
    <x v="4"/>
    <x v="1"/>
    <n v="3.8"/>
    <n v="1060.2"/>
  </r>
  <r>
    <s v="Tomatoes"/>
    <x v="7"/>
    <n v="456"/>
    <x v="4"/>
    <x v="1"/>
    <n v="4.4000000000000004"/>
    <n v="2006.4"/>
  </r>
  <r>
    <s v="Tomatoes"/>
    <x v="7"/>
    <n v="798"/>
    <x v="4"/>
    <x v="1"/>
    <n v="4.4000000000000004"/>
    <n v="3511.2"/>
  </r>
  <r>
    <s v="Tomatoes"/>
    <x v="7"/>
    <n v="144"/>
    <x v="4"/>
    <x v="1"/>
    <n v="4.4000000000000004"/>
    <n v="633.6"/>
  </r>
  <r>
    <s v="Radishes"/>
    <x v="8"/>
    <n v="556"/>
    <x v="5"/>
    <x v="0"/>
    <n v="4.9000000000000004"/>
    <n v="2724.4"/>
  </r>
  <r>
    <s v="Radishes"/>
    <x v="8"/>
    <n v="325"/>
    <x v="5"/>
    <x v="0"/>
    <n v="4.9000000000000004"/>
    <n v="1592.5"/>
  </r>
  <r>
    <s v="Radishes"/>
    <x v="8"/>
    <n v="876"/>
    <x v="5"/>
    <x v="2"/>
    <n v="4.9000000000000004"/>
    <n v="4292.3999999999996"/>
  </r>
  <r>
    <s v="Broccoli"/>
    <x v="9"/>
    <n v="889"/>
    <x v="4"/>
    <x v="2"/>
    <n v="5.5"/>
    <n v="4889.5"/>
  </r>
  <r>
    <s v="Broccoli"/>
    <x v="9"/>
    <n v="129"/>
    <x v="4"/>
    <x v="2"/>
    <n v="5.5"/>
    <n v="709.5"/>
  </r>
  <r>
    <s v="Broccoli"/>
    <x v="9"/>
    <n v="687"/>
    <x v="4"/>
    <x v="2"/>
    <n v="5.5"/>
    <n v="3778.5"/>
  </r>
  <r>
    <s v="Beets"/>
    <x v="10"/>
    <n v="996"/>
    <x v="5"/>
    <x v="0"/>
    <n v="5.5"/>
    <n v="5478"/>
  </r>
  <r>
    <s v="Beets"/>
    <x v="10"/>
    <n v="679"/>
    <x v="5"/>
    <x v="2"/>
    <n v="5.5"/>
    <n v="3734.5"/>
  </r>
  <r>
    <s v="Beets"/>
    <x v="10"/>
    <n v="253"/>
    <x v="5"/>
    <x v="2"/>
    <n v="5.5"/>
    <n v="1391.5"/>
  </r>
  <r>
    <s v="Peppers"/>
    <x v="11"/>
    <n v="135"/>
    <x v="3"/>
    <x v="2"/>
    <n v="6.6"/>
    <n v="891"/>
  </r>
  <r>
    <s v="Peppers"/>
    <x v="11"/>
    <n v="425"/>
    <x v="3"/>
    <x v="2"/>
    <n v="6.6"/>
    <n v="2805"/>
  </r>
  <r>
    <s v="Peppers"/>
    <x v="11"/>
    <n v="625"/>
    <x v="3"/>
    <x v="0"/>
    <n v="6.6"/>
    <n v="41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umpkins"/>
    <x v="0"/>
    <n v="782"/>
    <x v="0"/>
    <x v="0"/>
    <n v="1.3"/>
    <n v="1016.6"/>
  </r>
  <r>
    <s v="Pumpkins"/>
    <x v="0"/>
    <n v="903"/>
    <x v="0"/>
    <x v="0"/>
    <n v="1.3"/>
    <n v="1173.9000000000001"/>
  </r>
  <r>
    <s v="Pumpkins"/>
    <x v="0"/>
    <n v="767"/>
    <x v="0"/>
    <x v="0"/>
    <n v="1.3"/>
    <n v="997.1"/>
  </r>
  <r>
    <s v="Onions"/>
    <x v="1"/>
    <n v="921"/>
    <x v="1"/>
    <x v="0"/>
    <n v="1.6"/>
    <n v="1473.6"/>
  </r>
  <r>
    <s v="Onions"/>
    <x v="1"/>
    <n v="613"/>
    <x v="1"/>
    <x v="0"/>
    <n v="1.6"/>
    <n v="980.8"/>
  </r>
  <r>
    <s v="Onions"/>
    <x v="1"/>
    <n v="948"/>
    <x v="1"/>
    <x v="0"/>
    <n v="1.6"/>
    <n v="1516.8"/>
  </r>
  <r>
    <s v="Cucumbers"/>
    <x v="2"/>
    <n v="713"/>
    <x v="2"/>
    <x v="1"/>
    <n v="2.2000000000000002"/>
    <n v="1568.6"/>
  </r>
  <r>
    <s v="Cucumbers"/>
    <x v="2"/>
    <n v="223"/>
    <x v="2"/>
    <x v="1"/>
    <n v="2.2000000000000002"/>
    <n v="490.6"/>
  </r>
  <r>
    <s v="Cucumbers"/>
    <x v="2"/>
    <n v="528"/>
    <x v="2"/>
    <x v="1"/>
    <n v="2.2000000000000002"/>
    <n v="1161.5999999999999"/>
  </r>
  <r>
    <s v="Potatoes"/>
    <x v="3"/>
    <n v="324"/>
    <x v="1"/>
    <x v="2"/>
    <n v="2.2000000000000002"/>
    <n v="712.8"/>
  </r>
  <r>
    <s v="Potatoes"/>
    <x v="3"/>
    <n v="187"/>
    <x v="1"/>
    <x v="2"/>
    <n v="2.2000000000000002"/>
    <n v="411.4"/>
  </r>
  <r>
    <s v="Potatoes"/>
    <x v="3"/>
    <n v="105"/>
    <x v="1"/>
    <x v="2"/>
    <n v="2.2000000000000002"/>
    <n v="231"/>
  </r>
  <r>
    <s v="Squash"/>
    <x v="4"/>
    <n v="648"/>
    <x v="3"/>
    <x v="1"/>
    <n v="2.7"/>
    <n v="1749.6"/>
  </r>
  <r>
    <s v="Squash"/>
    <x v="4"/>
    <n v="246"/>
    <x v="3"/>
    <x v="1"/>
    <n v="2.7"/>
    <n v="664.2"/>
  </r>
  <r>
    <s v="Squash"/>
    <x v="4"/>
    <n v="539"/>
    <x v="3"/>
    <x v="1"/>
    <n v="2.7"/>
    <n v="1455.3"/>
  </r>
  <r>
    <s v="Carrots"/>
    <x v="5"/>
    <n v="573"/>
    <x v="2"/>
    <x v="2"/>
    <n v="3.3"/>
    <n v="1890.9"/>
  </r>
  <r>
    <s v="Carrots"/>
    <x v="5"/>
    <n v="782"/>
    <x v="2"/>
    <x v="2"/>
    <n v="3.3"/>
    <n v="2580.6"/>
  </r>
  <r>
    <s v="Carrots"/>
    <x v="5"/>
    <n v="868"/>
    <x v="2"/>
    <x v="2"/>
    <n v="3.3"/>
    <n v="2864.4"/>
  </r>
  <r>
    <s v="Lettuce"/>
    <x v="6"/>
    <n v="278"/>
    <x v="4"/>
    <x v="1"/>
    <n v="3.8"/>
    <n v="1056.4000000000001"/>
  </r>
  <r>
    <s v="Lettuce"/>
    <x v="6"/>
    <n v="455"/>
    <x v="4"/>
    <x v="1"/>
    <n v="3.8"/>
    <n v="1729"/>
  </r>
  <r>
    <s v="Lettuce"/>
    <x v="6"/>
    <n v="279"/>
    <x v="4"/>
    <x v="1"/>
    <n v="3.8"/>
    <n v="1060.2"/>
  </r>
  <r>
    <s v="Tomatoes"/>
    <x v="7"/>
    <n v="456"/>
    <x v="4"/>
    <x v="1"/>
    <n v="4.4000000000000004"/>
    <n v="2006.4"/>
  </r>
  <r>
    <s v="Tomatoes"/>
    <x v="7"/>
    <n v="798"/>
    <x v="4"/>
    <x v="1"/>
    <n v="4.4000000000000004"/>
    <n v="3511.2"/>
  </r>
  <r>
    <s v="Tomatoes"/>
    <x v="7"/>
    <n v="144"/>
    <x v="4"/>
    <x v="1"/>
    <n v="4.4000000000000004"/>
    <n v="633.6"/>
  </r>
  <r>
    <s v="Radishes"/>
    <x v="8"/>
    <n v="556"/>
    <x v="5"/>
    <x v="0"/>
    <n v="4.9000000000000004"/>
    <n v="2724.4"/>
  </r>
  <r>
    <s v="Radishes"/>
    <x v="8"/>
    <n v="325"/>
    <x v="5"/>
    <x v="0"/>
    <n v="4.9000000000000004"/>
    <n v="1592.5"/>
  </r>
  <r>
    <s v="Radishes"/>
    <x v="8"/>
    <n v="876"/>
    <x v="5"/>
    <x v="2"/>
    <n v="4.9000000000000004"/>
    <n v="4292.3999999999996"/>
  </r>
  <r>
    <s v="Broccoli"/>
    <x v="9"/>
    <n v="889"/>
    <x v="4"/>
    <x v="2"/>
    <n v="5.5"/>
    <n v="4889.5"/>
  </r>
  <r>
    <s v="Broccoli"/>
    <x v="9"/>
    <n v="129"/>
    <x v="4"/>
    <x v="2"/>
    <n v="5.5"/>
    <n v="709.5"/>
  </r>
  <r>
    <s v="Broccoli"/>
    <x v="9"/>
    <n v="687"/>
    <x v="4"/>
    <x v="2"/>
    <n v="5.5"/>
    <n v="3778.5"/>
  </r>
  <r>
    <s v="Beets"/>
    <x v="10"/>
    <n v="996"/>
    <x v="5"/>
    <x v="0"/>
    <n v="5.5"/>
    <n v="5478"/>
  </r>
  <r>
    <s v="Beets"/>
    <x v="10"/>
    <n v="679"/>
    <x v="5"/>
    <x v="2"/>
    <n v="5.5"/>
    <n v="3734.5"/>
  </r>
  <r>
    <s v="Beets"/>
    <x v="10"/>
    <n v="253"/>
    <x v="5"/>
    <x v="2"/>
    <n v="5.5"/>
    <n v="1391.5"/>
  </r>
  <r>
    <s v="Peppers"/>
    <x v="11"/>
    <n v="135"/>
    <x v="3"/>
    <x v="2"/>
    <n v="6.6"/>
    <n v="891"/>
  </r>
  <r>
    <s v="Peppers"/>
    <x v="11"/>
    <n v="425"/>
    <x v="3"/>
    <x v="2"/>
    <n v="6.6"/>
    <n v="2805"/>
  </r>
  <r>
    <s v="Peppers"/>
    <x v="11"/>
    <n v="625"/>
    <x v="3"/>
    <x v="0"/>
    <n v="6.6"/>
    <n v="4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B3A33-47CC-48C9-A561-57BD648C0F71}" name="ValueTracker" cacheId="0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pageOverThenDown="1" itemPrintTitles="1" showDropZones="0" indent="0" outline="1" outlineData="1" chartFormat="1">
  <location ref="A1:H21" firstHeaderRow="1" firstDataRow="2" firstDataCol="1"/>
  <pivotFields count="7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13">
        <item x="5"/>
        <item x="9"/>
        <item x="7"/>
        <item x="6"/>
        <item x="2"/>
        <item x="11"/>
        <item x="1"/>
        <item x="4"/>
        <item x="0"/>
        <item x="3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7">
        <item x="2"/>
        <item x="1"/>
        <item x="0"/>
        <item x="4"/>
        <item x="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"/>
  </rowFields>
  <rowItems count="19">
    <i>
      <x/>
    </i>
    <i r="1">
      <x v="2"/>
    </i>
    <i r="1">
      <x v="3"/>
    </i>
    <i r="1">
      <x v="4"/>
    </i>
    <i r="1">
      <x v="7"/>
    </i>
    <i>
      <x v="1"/>
    </i>
    <i r="1">
      <x/>
    </i>
    <i r="1">
      <x v="1"/>
    </i>
    <i r="1">
      <x v="5"/>
    </i>
    <i r="1">
      <x v="9"/>
    </i>
    <i r="1">
      <x v="10"/>
    </i>
    <i r="1">
      <x v="11"/>
    </i>
    <i>
      <x v="2"/>
    </i>
    <i r="1">
      <x v="5"/>
    </i>
    <i r="1">
      <x v="6"/>
    </i>
    <i r="1">
      <x v="8"/>
    </i>
    <i r="1">
      <x v="10"/>
    </i>
    <i r="1"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stimated Value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3CF91-1422-429F-8C8A-9E68C4D53DEB}" name="Values" cacheId="6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H21" firstHeaderRow="1" firstDataRow="2" firstDataCol="1"/>
  <pivotFields count="7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13">
        <item x="5"/>
        <item x="9"/>
        <item x="7"/>
        <item x="6"/>
        <item x="2"/>
        <item x="11"/>
        <item x="1"/>
        <item x="4"/>
        <item x="0"/>
        <item x="3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7">
        <item x="2"/>
        <item x="1"/>
        <item x="0"/>
        <item x="4"/>
        <item x="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"/>
  </rowFields>
  <rowItems count="19">
    <i>
      <x/>
    </i>
    <i r="1">
      <x v="2"/>
    </i>
    <i r="1">
      <x v="3"/>
    </i>
    <i r="1">
      <x v="4"/>
    </i>
    <i r="1">
      <x v="7"/>
    </i>
    <i>
      <x v="1"/>
    </i>
    <i r="1">
      <x/>
    </i>
    <i r="1">
      <x v="1"/>
    </i>
    <i r="1">
      <x v="5"/>
    </i>
    <i r="1">
      <x v="9"/>
    </i>
    <i r="1">
      <x v="10"/>
    </i>
    <i r="1">
      <x v="11"/>
    </i>
    <i>
      <x v="2"/>
    </i>
    <i r="1">
      <x v="5"/>
    </i>
    <i r="1">
      <x v="6"/>
    </i>
    <i r="1">
      <x v="8"/>
    </i>
    <i r="1">
      <x v="10"/>
    </i>
    <i r="1"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stimated Value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G37"/>
  <sheetViews>
    <sheetView workbookViewId="0">
      <selection activeCell="L18" sqref="L18"/>
    </sheetView>
  </sheetViews>
  <sheetFormatPr defaultRowHeight="15" x14ac:dyDescent="0.25"/>
  <cols>
    <col min="1" max="1" width="11" bestFit="1" customWidth="1"/>
    <col min="2" max="2" width="17.28515625" bestFit="1" customWidth="1"/>
    <col min="3" max="3" width="12" bestFit="1" customWidth="1"/>
    <col min="4" max="4" width="12.5703125" bestFit="1" customWidth="1"/>
    <col min="5" max="5" width="13.42578125" bestFit="1" customWidth="1"/>
    <col min="6" max="6" width="13.42578125" style="1" customWidth="1"/>
    <col min="7" max="7" width="9.140625" style="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</row>
    <row r="3" spans="1:6" x14ac:dyDescent="0.25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</row>
    <row r="4" spans="1:6" x14ac:dyDescent="0.25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</row>
    <row r="5" spans="1:6" x14ac:dyDescent="0.25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</row>
    <row r="6" spans="1:6" x14ac:dyDescent="0.25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</row>
    <row r="7" spans="1:6" x14ac:dyDescent="0.25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</row>
    <row r="8" spans="1:6" x14ac:dyDescent="0.25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</row>
    <row r="9" spans="1:6" x14ac:dyDescent="0.25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</row>
    <row r="10" spans="1:6" x14ac:dyDescent="0.25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</row>
    <row r="11" spans="1:6" x14ac:dyDescent="0.25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</row>
    <row r="12" spans="1:6" x14ac:dyDescent="0.25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</row>
    <row r="13" spans="1:6" x14ac:dyDescent="0.25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</row>
    <row r="14" spans="1:6" x14ac:dyDescent="0.25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</row>
    <row r="15" spans="1:6" x14ac:dyDescent="0.25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</row>
    <row r="16" spans="1:6" x14ac:dyDescent="0.25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</row>
    <row r="17" spans="1:6" x14ac:dyDescent="0.25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</row>
    <row r="18" spans="1:6" x14ac:dyDescent="0.25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</row>
    <row r="19" spans="1:6" x14ac:dyDescent="0.25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</row>
    <row r="20" spans="1:6" x14ac:dyDescent="0.25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</row>
    <row r="21" spans="1:6" x14ac:dyDescent="0.25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</row>
    <row r="22" spans="1:6" x14ac:dyDescent="0.25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</row>
    <row r="23" spans="1:6" x14ac:dyDescent="0.25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</row>
    <row r="24" spans="1:6" x14ac:dyDescent="0.25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</row>
    <row r="25" spans="1:6" x14ac:dyDescent="0.25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</row>
    <row r="26" spans="1:6" x14ac:dyDescent="0.25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</row>
    <row r="27" spans="1:6" x14ac:dyDescent="0.25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</row>
    <row r="28" spans="1:6" x14ac:dyDescent="0.25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</row>
    <row r="29" spans="1:6" x14ac:dyDescent="0.25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</row>
    <row r="30" spans="1:6" x14ac:dyDescent="0.25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</row>
    <row r="31" spans="1:6" x14ac:dyDescent="0.25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</row>
    <row r="32" spans="1:6" x14ac:dyDescent="0.25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</row>
    <row r="33" spans="1:6" x14ac:dyDescent="0.25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</row>
    <row r="34" spans="1:6" x14ac:dyDescent="0.25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</row>
    <row r="35" spans="1:6" x14ac:dyDescent="0.25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</row>
    <row r="36" spans="1:6" x14ac:dyDescent="0.25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</row>
    <row r="37" spans="1:6" x14ac:dyDescent="0.25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40C5-F580-44F1-A360-402ADFFC03B2}">
  <dimension ref="A1:H21"/>
  <sheetViews>
    <sheetView workbookViewId="0">
      <selection activeCell="R16" sqref="R16"/>
    </sheetView>
  </sheetViews>
  <sheetFormatPr defaultRowHeight="15" x14ac:dyDescent="0.25"/>
  <cols>
    <col min="1" max="1" width="22.42578125" bestFit="1" customWidth="1"/>
    <col min="2" max="2" width="16.28515625" bestFit="1" customWidth="1"/>
    <col min="3" max="4" width="7" bestFit="1" customWidth="1"/>
    <col min="5" max="7" width="8" bestFit="1" customWidth="1"/>
    <col min="8" max="8" width="11.28515625" bestFit="1" customWidth="1"/>
  </cols>
  <sheetData>
    <row r="1" spans="1:8" x14ac:dyDescent="0.25">
      <c r="A1" s="3" t="s">
        <v>42</v>
      </c>
      <c r="B1" s="3" t="s">
        <v>41</v>
      </c>
    </row>
    <row r="2" spans="1:8" x14ac:dyDescent="0.25">
      <c r="A2" s="3" t="s">
        <v>39</v>
      </c>
      <c r="B2" t="s">
        <v>15</v>
      </c>
      <c r="C2" t="s">
        <v>12</v>
      </c>
      <c r="D2" t="s">
        <v>8</v>
      </c>
      <c r="E2" t="s">
        <v>27</v>
      </c>
      <c r="F2" t="s">
        <v>22</v>
      </c>
      <c r="G2" t="s">
        <v>32</v>
      </c>
      <c r="H2" t="s">
        <v>40</v>
      </c>
    </row>
    <row r="3" spans="1:8" x14ac:dyDescent="0.25">
      <c r="A3" s="4" t="s">
        <v>16</v>
      </c>
      <c r="B3">
        <v>3220.7999999999997</v>
      </c>
      <c r="E3">
        <v>9996.8000000000011</v>
      </c>
      <c r="F3">
        <v>3869.1000000000004</v>
      </c>
      <c r="H3">
        <v>17086.7</v>
      </c>
    </row>
    <row r="4" spans="1:8" x14ac:dyDescent="0.25">
      <c r="A4" s="5" t="s">
        <v>29</v>
      </c>
      <c r="E4">
        <v>6151.2000000000007</v>
      </c>
      <c r="H4">
        <v>6151.2000000000007</v>
      </c>
    </row>
    <row r="5" spans="1:8" x14ac:dyDescent="0.25">
      <c r="A5" s="5" t="s">
        <v>26</v>
      </c>
      <c r="E5">
        <v>3845.6000000000004</v>
      </c>
      <c r="H5">
        <v>3845.6000000000004</v>
      </c>
    </row>
    <row r="6" spans="1:8" x14ac:dyDescent="0.25">
      <c r="A6" s="5" t="s">
        <v>14</v>
      </c>
      <c r="B6">
        <v>3220.7999999999997</v>
      </c>
      <c r="H6">
        <v>3220.7999999999997</v>
      </c>
    </row>
    <row r="7" spans="1:8" x14ac:dyDescent="0.25">
      <c r="A7" s="5" t="s">
        <v>21</v>
      </c>
      <c r="F7">
        <v>3869.1000000000004</v>
      </c>
      <c r="H7">
        <v>3869.1000000000004</v>
      </c>
    </row>
    <row r="8" spans="1:8" x14ac:dyDescent="0.25">
      <c r="A8" s="4" t="s">
        <v>19</v>
      </c>
      <c r="B8">
        <v>7335.9</v>
      </c>
      <c r="C8">
        <v>1355.1999999999998</v>
      </c>
      <c r="E8">
        <v>9377.5</v>
      </c>
      <c r="F8">
        <v>3696</v>
      </c>
      <c r="G8">
        <v>9418.4</v>
      </c>
      <c r="H8">
        <v>31183</v>
      </c>
    </row>
    <row r="9" spans="1:8" x14ac:dyDescent="0.25">
      <c r="A9" s="5" t="s">
        <v>24</v>
      </c>
      <c r="B9">
        <v>7335.9</v>
      </c>
      <c r="H9">
        <v>7335.9</v>
      </c>
    </row>
    <row r="10" spans="1:8" x14ac:dyDescent="0.25">
      <c r="A10" s="5" t="s">
        <v>34</v>
      </c>
      <c r="E10">
        <v>9377.5</v>
      </c>
      <c r="H10">
        <v>9377.5</v>
      </c>
    </row>
    <row r="11" spans="1:8" x14ac:dyDescent="0.25">
      <c r="A11" s="5" t="s">
        <v>38</v>
      </c>
      <c r="F11">
        <v>3696</v>
      </c>
      <c r="H11">
        <v>3696</v>
      </c>
    </row>
    <row r="12" spans="1:8" x14ac:dyDescent="0.25">
      <c r="A12" s="5" t="s">
        <v>18</v>
      </c>
      <c r="C12">
        <v>1355.1999999999998</v>
      </c>
      <c r="H12">
        <v>1355.1999999999998</v>
      </c>
    </row>
    <row r="13" spans="1:8" x14ac:dyDescent="0.25">
      <c r="A13" s="5" t="s">
        <v>31</v>
      </c>
      <c r="G13">
        <v>4292.3999999999996</v>
      </c>
      <c r="H13">
        <v>4292.3999999999996</v>
      </c>
    </row>
    <row r="14" spans="1:8" x14ac:dyDescent="0.25">
      <c r="A14" s="5" t="s">
        <v>36</v>
      </c>
      <c r="G14">
        <v>5126</v>
      </c>
      <c r="H14">
        <v>5126</v>
      </c>
    </row>
    <row r="15" spans="1:8" x14ac:dyDescent="0.25">
      <c r="A15" s="4" t="s">
        <v>9</v>
      </c>
      <c r="C15">
        <v>3971.2</v>
      </c>
      <c r="D15">
        <v>3187.6</v>
      </c>
      <c r="F15">
        <v>4125</v>
      </c>
      <c r="G15">
        <v>9794.9</v>
      </c>
      <c r="H15">
        <v>21078.699999999997</v>
      </c>
    </row>
    <row r="16" spans="1:8" x14ac:dyDescent="0.25">
      <c r="A16" s="5" t="s">
        <v>38</v>
      </c>
      <c r="F16">
        <v>4125</v>
      </c>
      <c r="H16">
        <v>4125</v>
      </c>
    </row>
    <row r="17" spans="1:8" x14ac:dyDescent="0.25">
      <c r="A17" s="5" t="s">
        <v>11</v>
      </c>
      <c r="C17">
        <v>3971.2</v>
      </c>
      <c r="H17">
        <v>3971.2</v>
      </c>
    </row>
    <row r="18" spans="1:8" x14ac:dyDescent="0.25">
      <c r="A18" s="5" t="s">
        <v>7</v>
      </c>
      <c r="D18">
        <v>3187.6</v>
      </c>
      <c r="H18">
        <v>3187.6</v>
      </c>
    </row>
    <row r="19" spans="1:8" x14ac:dyDescent="0.25">
      <c r="A19" s="5" t="s">
        <v>31</v>
      </c>
      <c r="G19">
        <v>4316.8999999999996</v>
      </c>
      <c r="H19">
        <v>4316.8999999999996</v>
      </c>
    </row>
    <row r="20" spans="1:8" x14ac:dyDescent="0.25">
      <c r="A20" s="5" t="s">
        <v>36</v>
      </c>
      <c r="G20">
        <v>5478</v>
      </c>
      <c r="H20">
        <v>5478</v>
      </c>
    </row>
    <row r="21" spans="1:8" x14ac:dyDescent="0.25">
      <c r="A21" s="4" t="s">
        <v>40</v>
      </c>
      <c r="B21">
        <v>10556.699999999999</v>
      </c>
      <c r="C21">
        <v>5326.4</v>
      </c>
      <c r="D21">
        <v>3187.6</v>
      </c>
      <c r="E21">
        <v>19374.300000000003</v>
      </c>
      <c r="F21">
        <v>11690.1</v>
      </c>
      <c r="G21">
        <v>19213.3</v>
      </c>
      <c r="H21">
        <v>69348.399999999994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/>
  </sheetViews>
  <sheetFormatPr defaultRowHeight="15" x14ac:dyDescent="0.25"/>
  <cols>
    <col min="1" max="1" width="22.42578125" style="6" bestFit="1" customWidth="1"/>
    <col min="2" max="2" width="16.28515625" style="6" bestFit="1" customWidth="1"/>
    <col min="3" max="4" width="7" style="6" bestFit="1" customWidth="1"/>
    <col min="5" max="7" width="8" style="6" bestFit="1" customWidth="1"/>
    <col min="8" max="8" width="11.28515625" style="6" bestFit="1" customWidth="1"/>
    <col min="9" max="16384" width="9.140625" style="6"/>
  </cols>
  <sheetData>
    <row r="1" spans="1:8" x14ac:dyDescent="0.25">
      <c r="A1" s="3" t="s">
        <v>42</v>
      </c>
      <c r="B1" s="3" t="s">
        <v>41</v>
      </c>
      <c r="C1"/>
      <c r="D1"/>
      <c r="E1"/>
      <c r="F1"/>
      <c r="G1"/>
      <c r="H1"/>
    </row>
    <row r="2" spans="1:8" x14ac:dyDescent="0.25">
      <c r="A2" s="3" t="s">
        <v>39</v>
      </c>
      <c r="B2" t="s">
        <v>15</v>
      </c>
      <c r="C2" t="s">
        <v>12</v>
      </c>
      <c r="D2" t="s">
        <v>8</v>
      </c>
      <c r="E2" t="s">
        <v>27</v>
      </c>
      <c r="F2" t="s">
        <v>22</v>
      </c>
      <c r="G2" t="s">
        <v>32</v>
      </c>
      <c r="H2" t="s">
        <v>40</v>
      </c>
    </row>
    <row r="3" spans="1:8" x14ac:dyDescent="0.25">
      <c r="A3" s="4" t="s">
        <v>16</v>
      </c>
      <c r="B3" s="7">
        <v>3220.7999999999997</v>
      </c>
      <c r="C3" s="7"/>
      <c r="D3" s="7"/>
      <c r="E3" s="7">
        <v>9996.8000000000011</v>
      </c>
      <c r="F3" s="7">
        <v>3869.1000000000004</v>
      </c>
      <c r="G3" s="7"/>
      <c r="H3" s="7">
        <v>17086.7</v>
      </c>
    </row>
    <row r="4" spans="1:8" x14ac:dyDescent="0.25">
      <c r="A4" s="5" t="s">
        <v>29</v>
      </c>
      <c r="B4" s="7"/>
      <c r="C4" s="7"/>
      <c r="D4" s="7"/>
      <c r="E4" s="7">
        <v>6151.2000000000007</v>
      </c>
      <c r="F4" s="7"/>
      <c r="G4" s="7"/>
      <c r="H4" s="7">
        <v>6151.2000000000007</v>
      </c>
    </row>
    <row r="5" spans="1:8" x14ac:dyDescent="0.25">
      <c r="A5" s="5" t="s">
        <v>26</v>
      </c>
      <c r="B5" s="7"/>
      <c r="C5" s="7"/>
      <c r="D5" s="7"/>
      <c r="E5" s="7">
        <v>3845.6000000000004</v>
      </c>
      <c r="F5" s="7"/>
      <c r="G5" s="7"/>
      <c r="H5" s="7">
        <v>3845.6000000000004</v>
      </c>
    </row>
    <row r="6" spans="1:8" x14ac:dyDescent="0.25">
      <c r="A6" s="5" t="s">
        <v>14</v>
      </c>
      <c r="B6" s="7">
        <v>3220.7999999999997</v>
      </c>
      <c r="C6" s="7"/>
      <c r="D6" s="7"/>
      <c r="E6" s="7"/>
      <c r="F6" s="7"/>
      <c r="G6" s="7"/>
      <c r="H6" s="7">
        <v>3220.7999999999997</v>
      </c>
    </row>
    <row r="7" spans="1:8" x14ac:dyDescent="0.25">
      <c r="A7" s="5" t="s">
        <v>21</v>
      </c>
      <c r="B7" s="7"/>
      <c r="C7" s="7"/>
      <c r="D7" s="7"/>
      <c r="E7" s="7"/>
      <c r="F7" s="7">
        <v>3869.1000000000004</v>
      </c>
      <c r="G7" s="7"/>
      <c r="H7" s="7">
        <v>3869.1000000000004</v>
      </c>
    </row>
    <row r="8" spans="1:8" x14ac:dyDescent="0.25">
      <c r="A8" s="4" t="s">
        <v>19</v>
      </c>
      <c r="B8" s="7">
        <v>7335.9</v>
      </c>
      <c r="C8" s="7">
        <v>1355.1999999999998</v>
      </c>
      <c r="D8" s="7"/>
      <c r="E8" s="7">
        <v>9377.5</v>
      </c>
      <c r="F8" s="7">
        <v>3696</v>
      </c>
      <c r="G8" s="7">
        <v>9418.4</v>
      </c>
      <c r="H8" s="7">
        <v>31183</v>
      </c>
    </row>
    <row r="9" spans="1:8" x14ac:dyDescent="0.25">
      <c r="A9" s="5" t="s">
        <v>24</v>
      </c>
      <c r="B9" s="7">
        <v>7335.9</v>
      </c>
      <c r="C9" s="7"/>
      <c r="D9" s="7"/>
      <c r="E9" s="7"/>
      <c r="F9" s="7"/>
      <c r="G9" s="7"/>
      <c r="H9" s="7">
        <v>7335.9</v>
      </c>
    </row>
    <row r="10" spans="1:8" x14ac:dyDescent="0.25">
      <c r="A10" s="5" t="s">
        <v>34</v>
      </c>
      <c r="B10" s="7"/>
      <c r="C10" s="7"/>
      <c r="D10" s="7"/>
      <c r="E10" s="7">
        <v>9377.5</v>
      </c>
      <c r="F10" s="7"/>
      <c r="G10" s="7"/>
      <c r="H10" s="7">
        <v>9377.5</v>
      </c>
    </row>
    <row r="11" spans="1:8" x14ac:dyDescent="0.25">
      <c r="A11" s="5" t="s">
        <v>38</v>
      </c>
      <c r="B11" s="7"/>
      <c r="C11" s="7"/>
      <c r="D11" s="7"/>
      <c r="E11" s="7"/>
      <c r="F11" s="7">
        <v>3696</v>
      </c>
      <c r="G11" s="7"/>
      <c r="H11" s="7">
        <v>3696</v>
      </c>
    </row>
    <row r="12" spans="1:8" x14ac:dyDescent="0.25">
      <c r="A12" s="5" t="s">
        <v>18</v>
      </c>
      <c r="B12" s="7"/>
      <c r="C12" s="7">
        <v>1355.1999999999998</v>
      </c>
      <c r="D12" s="7"/>
      <c r="E12" s="7"/>
      <c r="F12" s="7"/>
      <c r="G12" s="7"/>
      <c r="H12" s="7">
        <v>1355.1999999999998</v>
      </c>
    </row>
    <row r="13" spans="1:8" x14ac:dyDescent="0.25">
      <c r="A13" s="5" t="s">
        <v>31</v>
      </c>
      <c r="B13" s="7"/>
      <c r="C13" s="7"/>
      <c r="D13" s="7"/>
      <c r="E13" s="7"/>
      <c r="F13" s="7"/>
      <c r="G13" s="7">
        <v>4292.3999999999996</v>
      </c>
      <c r="H13" s="7">
        <v>4292.3999999999996</v>
      </c>
    </row>
    <row r="14" spans="1:8" x14ac:dyDescent="0.25">
      <c r="A14" s="5" t="s">
        <v>36</v>
      </c>
      <c r="B14" s="7"/>
      <c r="C14" s="7"/>
      <c r="D14" s="7"/>
      <c r="E14" s="7"/>
      <c r="F14" s="7"/>
      <c r="G14" s="7">
        <v>5126</v>
      </c>
      <c r="H14" s="7">
        <v>5126</v>
      </c>
    </row>
    <row r="15" spans="1:8" x14ac:dyDescent="0.25">
      <c r="A15" s="4" t="s">
        <v>9</v>
      </c>
      <c r="B15" s="7"/>
      <c r="C15" s="7">
        <v>3971.2</v>
      </c>
      <c r="D15" s="7">
        <v>3187.6</v>
      </c>
      <c r="E15" s="7"/>
      <c r="F15" s="7">
        <v>4125</v>
      </c>
      <c r="G15" s="7">
        <v>9794.9</v>
      </c>
      <c r="H15" s="7">
        <v>21078.699999999997</v>
      </c>
    </row>
    <row r="16" spans="1:8" x14ac:dyDescent="0.25">
      <c r="A16" s="5" t="s">
        <v>38</v>
      </c>
      <c r="B16" s="7"/>
      <c r="C16" s="7"/>
      <c r="D16" s="7"/>
      <c r="E16" s="7"/>
      <c r="F16" s="7">
        <v>4125</v>
      </c>
      <c r="G16" s="7"/>
      <c r="H16" s="7">
        <v>4125</v>
      </c>
    </row>
    <row r="17" spans="1:8" x14ac:dyDescent="0.25">
      <c r="A17" s="5" t="s">
        <v>11</v>
      </c>
      <c r="B17" s="7"/>
      <c r="C17" s="7">
        <v>3971.2</v>
      </c>
      <c r="D17" s="7"/>
      <c r="E17" s="7"/>
      <c r="F17" s="7"/>
      <c r="G17" s="7"/>
      <c r="H17" s="7">
        <v>3971.2</v>
      </c>
    </row>
    <row r="18" spans="1:8" x14ac:dyDescent="0.25">
      <c r="A18" s="5" t="s">
        <v>7</v>
      </c>
      <c r="B18" s="7"/>
      <c r="C18" s="7"/>
      <c r="D18" s="7">
        <v>3187.6</v>
      </c>
      <c r="E18" s="7"/>
      <c r="F18" s="7"/>
      <c r="G18" s="7"/>
      <c r="H18" s="7">
        <v>3187.6</v>
      </c>
    </row>
    <row r="19" spans="1:8" x14ac:dyDescent="0.25">
      <c r="A19" s="5" t="s">
        <v>31</v>
      </c>
      <c r="B19" s="7"/>
      <c r="C19" s="7"/>
      <c r="D19" s="7"/>
      <c r="E19" s="7"/>
      <c r="F19" s="7"/>
      <c r="G19" s="7">
        <v>4316.8999999999996</v>
      </c>
      <c r="H19" s="7">
        <v>4316.8999999999996</v>
      </c>
    </row>
    <row r="20" spans="1:8" x14ac:dyDescent="0.25">
      <c r="A20" s="5" t="s">
        <v>36</v>
      </c>
      <c r="B20" s="7"/>
      <c r="C20" s="7"/>
      <c r="D20" s="7"/>
      <c r="E20" s="7"/>
      <c r="F20" s="7"/>
      <c r="G20" s="7">
        <v>5478</v>
      </c>
      <c r="H20" s="7">
        <v>5478</v>
      </c>
    </row>
    <row r="21" spans="1:8" x14ac:dyDescent="0.25">
      <c r="A21" s="4" t="s">
        <v>40</v>
      </c>
      <c r="B21" s="7">
        <v>10556.699999999999</v>
      </c>
      <c r="C21" s="7">
        <v>5326.4</v>
      </c>
      <c r="D21" s="7">
        <v>3187.6</v>
      </c>
      <c r="E21" s="7">
        <v>19374.300000000003</v>
      </c>
      <c r="F21" s="7">
        <v>11690.1</v>
      </c>
      <c r="G21" s="7">
        <v>19213.3</v>
      </c>
      <c r="H21" s="7">
        <v>69348.399999999994</v>
      </c>
    </row>
    <row r="22" spans="1:8" x14ac:dyDescent="0.25">
      <c r="A22" s="6" t="s">
        <v>25</v>
      </c>
      <c r="B22" s="6" t="s">
        <v>26</v>
      </c>
      <c r="C22" s="6">
        <v>279</v>
      </c>
      <c r="D22" s="6" t="s">
        <v>27</v>
      </c>
      <c r="E22" s="6" t="s">
        <v>16</v>
      </c>
      <c r="F22" s="6">
        <v>3.8</v>
      </c>
      <c r="G22" s="6">
        <v>1060.2</v>
      </c>
    </row>
    <row r="23" spans="1:8" x14ac:dyDescent="0.25">
      <c r="A23" s="6" t="s">
        <v>28</v>
      </c>
      <c r="B23" s="6" t="s">
        <v>29</v>
      </c>
      <c r="C23" s="6">
        <v>456</v>
      </c>
      <c r="D23" s="6" t="s">
        <v>27</v>
      </c>
      <c r="E23" s="6" t="s">
        <v>16</v>
      </c>
      <c r="F23" s="6">
        <v>4.4000000000000004</v>
      </c>
      <c r="G23" s="6">
        <v>2006.4</v>
      </c>
    </row>
    <row r="24" spans="1:8" x14ac:dyDescent="0.25">
      <c r="A24" s="6" t="s">
        <v>28</v>
      </c>
      <c r="B24" s="6" t="s">
        <v>29</v>
      </c>
      <c r="C24" s="6">
        <v>798</v>
      </c>
      <c r="D24" s="6" t="s">
        <v>27</v>
      </c>
      <c r="E24" s="6" t="s">
        <v>16</v>
      </c>
      <c r="F24" s="6">
        <v>4.4000000000000004</v>
      </c>
      <c r="G24" s="6">
        <v>3511.2</v>
      </c>
    </row>
    <row r="25" spans="1:8" x14ac:dyDescent="0.25">
      <c r="A25" s="6" t="s">
        <v>28</v>
      </c>
      <c r="B25" s="6" t="s">
        <v>29</v>
      </c>
      <c r="C25" s="6">
        <v>144</v>
      </c>
      <c r="D25" s="6" t="s">
        <v>27</v>
      </c>
      <c r="E25" s="6" t="s">
        <v>16</v>
      </c>
      <c r="F25" s="6">
        <v>4.4000000000000004</v>
      </c>
      <c r="G25" s="6">
        <v>633.6</v>
      </c>
    </row>
    <row r="26" spans="1:8" x14ac:dyDescent="0.25">
      <c r="A26" s="6" t="s">
        <v>30</v>
      </c>
      <c r="B26" s="6" t="s">
        <v>31</v>
      </c>
      <c r="C26" s="6">
        <v>556</v>
      </c>
      <c r="D26" s="6" t="s">
        <v>32</v>
      </c>
      <c r="E26" s="6" t="s">
        <v>9</v>
      </c>
      <c r="F26" s="6">
        <v>4.9000000000000004</v>
      </c>
      <c r="G26" s="6">
        <v>2724.4</v>
      </c>
    </row>
    <row r="27" spans="1:8" x14ac:dyDescent="0.25">
      <c r="A27" s="6" t="s">
        <v>30</v>
      </c>
      <c r="B27" s="6" t="s">
        <v>31</v>
      </c>
      <c r="C27" s="6">
        <v>325</v>
      </c>
      <c r="D27" s="6" t="s">
        <v>32</v>
      </c>
      <c r="E27" s="6" t="s">
        <v>9</v>
      </c>
      <c r="F27" s="6">
        <v>4.9000000000000004</v>
      </c>
      <c r="G27" s="6">
        <v>1592.5</v>
      </c>
    </row>
    <row r="28" spans="1:8" x14ac:dyDescent="0.25">
      <c r="A28" s="6" t="s">
        <v>30</v>
      </c>
      <c r="B28" s="6" t="s">
        <v>31</v>
      </c>
      <c r="C28" s="6">
        <v>876</v>
      </c>
      <c r="D28" s="6" t="s">
        <v>32</v>
      </c>
      <c r="E28" s="6" t="s">
        <v>19</v>
      </c>
      <c r="F28" s="6">
        <v>4.9000000000000004</v>
      </c>
      <c r="G28" s="6">
        <v>4292.3999999999996</v>
      </c>
    </row>
    <row r="29" spans="1:8" x14ac:dyDescent="0.25">
      <c r="A29" s="6" t="s">
        <v>33</v>
      </c>
      <c r="B29" s="6" t="s">
        <v>34</v>
      </c>
      <c r="C29" s="6">
        <v>889</v>
      </c>
      <c r="D29" s="6" t="s">
        <v>27</v>
      </c>
      <c r="E29" s="6" t="s">
        <v>19</v>
      </c>
      <c r="F29" s="6">
        <v>5.5</v>
      </c>
      <c r="G29" s="6">
        <v>4889.5</v>
      </c>
    </row>
    <row r="30" spans="1:8" x14ac:dyDescent="0.25">
      <c r="A30" s="6" t="s">
        <v>33</v>
      </c>
      <c r="B30" s="6" t="s">
        <v>34</v>
      </c>
      <c r="C30" s="6">
        <v>129</v>
      </c>
      <c r="D30" s="6" t="s">
        <v>27</v>
      </c>
      <c r="E30" s="6" t="s">
        <v>19</v>
      </c>
      <c r="F30" s="6">
        <v>5.5</v>
      </c>
      <c r="G30" s="6">
        <v>709.5</v>
      </c>
    </row>
    <row r="31" spans="1:8" x14ac:dyDescent="0.25">
      <c r="A31" s="6" t="s">
        <v>33</v>
      </c>
      <c r="B31" s="6" t="s">
        <v>34</v>
      </c>
      <c r="C31" s="6">
        <v>687</v>
      </c>
      <c r="D31" s="6" t="s">
        <v>27</v>
      </c>
      <c r="E31" s="6" t="s">
        <v>19</v>
      </c>
      <c r="F31" s="6">
        <v>5.5</v>
      </c>
      <c r="G31" s="6">
        <v>3778.5</v>
      </c>
    </row>
    <row r="32" spans="1:8" x14ac:dyDescent="0.25">
      <c r="A32" s="6" t="s">
        <v>35</v>
      </c>
      <c r="B32" s="6" t="s">
        <v>36</v>
      </c>
      <c r="C32" s="6">
        <v>996</v>
      </c>
      <c r="D32" s="6" t="s">
        <v>32</v>
      </c>
      <c r="E32" s="6" t="s">
        <v>9</v>
      </c>
      <c r="F32" s="6">
        <v>5.5</v>
      </c>
      <c r="G32" s="6">
        <v>5478</v>
      </c>
    </row>
    <row r="33" spans="1:7" x14ac:dyDescent="0.25">
      <c r="A33" s="6" t="s">
        <v>35</v>
      </c>
      <c r="B33" s="6" t="s">
        <v>36</v>
      </c>
      <c r="C33" s="6">
        <v>679</v>
      </c>
      <c r="D33" s="6" t="s">
        <v>32</v>
      </c>
      <c r="E33" s="6" t="s">
        <v>19</v>
      </c>
      <c r="F33" s="6">
        <v>5.5</v>
      </c>
      <c r="G33" s="6">
        <v>3734.5</v>
      </c>
    </row>
    <row r="34" spans="1:7" x14ac:dyDescent="0.25">
      <c r="A34" s="6" t="s">
        <v>35</v>
      </c>
      <c r="B34" s="6" t="s">
        <v>36</v>
      </c>
      <c r="C34" s="6">
        <v>253</v>
      </c>
      <c r="D34" s="6" t="s">
        <v>32</v>
      </c>
      <c r="E34" s="6" t="s">
        <v>19</v>
      </c>
      <c r="F34" s="6">
        <v>5.5</v>
      </c>
      <c r="G34" s="6">
        <v>1391.5</v>
      </c>
    </row>
    <row r="35" spans="1:7" x14ac:dyDescent="0.25">
      <c r="A35" s="6" t="s">
        <v>37</v>
      </c>
      <c r="B35" s="6" t="s">
        <v>38</v>
      </c>
      <c r="C35" s="6">
        <v>135</v>
      </c>
      <c r="D35" s="6" t="s">
        <v>22</v>
      </c>
      <c r="E35" s="6" t="s">
        <v>19</v>
      </c>
      <c r="F35" s="6">
        <v>6.6</v>
      </c>
      <c r="G35" s="6">
        <v>891</v>
      </c>
    </row>
    <row r="36" spans="1:7" x14ac:dyDescent="0.25">
      <c r="A36" s="6" t="s">
        <v>37</v>
      </c>
      <c r="B36" s="6" t="s">
        <v>38</v>
      </c>
      <c r="C36" s="6">
        <v>425</v>
      </c>
      <c r="D36" s="6" t="s">
        <v>22</v>
      </c>
      <c r="E36" s="6" t="s">
        <v>19</v>
      </c>
      <c r="F36" s="6">
        <v>6.6</v>
      </c>
      <c r="G36" s="6">
        <v>2805</v>
      </c>
    </row>
    <row r="37" spans="1:7" x14ac:dyDescent="0.25">
      <c r="A37" s="6" t="s">
        <v>37</v>
      </c>
      <c r="B37" s="6" t="s">
        <v>38</v>
      </c>
      <c r="C37" s="6">
        <v>625</v>
      </c>
      <c r="D37" s="6" t="s">
        <v>22</v>
      </c>
      <c r="E37" s="6" t="s">
        <v>9</v>
      </c>
      <c r="F37" s="6">
        <v>6.6</v>
      </c>
      <c r="G37" s="6">
        <v>4125</v>
      </c>
    </row>
  </sheetData>
  <pageMargins left="0.75" right="0.75" top="0.75" bottom="0.5" header="0.5" footer="0.7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PivotTable</vt:lpstr>
      <vt:lpstr>Tracker_Updated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matias avaca</cp:lastModifiedBy>
  <dcterms:created xsi:type="dcterms:W3CDTF">2015-06-05T18:17:20Z</dcterms:created>
  <dcterms:modified xsi:type="dcterms:W3CDTF">2026-01-30T23:15:06Z</dcterms:modified>
</cp:coreProperties>
</file>